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Mapup\"/>
    </mc:Choice>
  </mc:AlternateContent>
  <xr:revisionPtr revIDLastSave="0" documentId="8_{55E58DA9-8513-43BB-96CD-CBC8F720E159}" xr6:coauthVersionLast="47" xr6:coauthVersionMax="47" xr10:uidLastSave="{00000000-0000-0000-0000-000000000000}"/>
  <bookViews>
    <workbookView xWindow="-110" yWindow="-110" windowWidth="19420" windowHeight="10300" tabRatio="849" firstSheet="1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23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  <c r="C5" i="15"/>
  <c r="C22" i="19" a="1"/>
  <c r="C22" i="19" s="1"/>
  <c r="B28" i="18" l="1"/>
  <c r="E30" i="18"/>
  <c r="D30" i="18"/>
  <c r="E28" i="18"/>
  <c r="C30" i="18"/>
  <c r="F29" i="18"/>
  <c r="D28" i="18"/>
  <c r="C28" i="18"/>
  <c r="E29" i="18"/>
  <c r="B29" i="18"/>
  <c r="D29" i="18"/>
  <c r="B30" i="18"/>
  <c r="C29" i="18"/>
  <c r="F28" i="18"/>
  <c r="F30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<sst xmlns="http://schemas.openxmlformats.org/spreadsheetml/2006/main" count="406" uniqueCount="183">
  <si>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</si>
  <si>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</si>
  <si>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</si>
  <si>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</si>
  <si>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</si>
  <si>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</si>
  <si>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</si>
  <si>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</si>
  <si>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</si>
  <si>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</si>
  <si>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</si>
  <si>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</si>
  <si>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</si>
  <si>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</si>
  <si>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</si>
  <si>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</si>
  <si>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</si>
  <si>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</si>
  <si>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</si>
  <si>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</si>
  <si>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</si>
  <si>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</si>
  <si>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</si>
  <si>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</si>
  <si>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</si>
  <si>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</si>
  <si>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</si>
  <si>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</si>
  <si>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</si>
  <si>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</si>
  <si>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</si>
  <si>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</si>
  <si>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</si>
  <si>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</si>
  <si>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</si>
  <si>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</si>
  <si>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</si>
  <si>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</si>
  <si>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</si>
  <si>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</si>
  <si>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</si>
  <si>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</si>
  <si>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</si>
  <si>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</si>
  <si>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</si>
  <si>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</si>
  <si>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</si>
  <si>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</si>
  <si>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</si>
  <si>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</si>
  <si>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</si>
  <si>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</si>
  <si>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</si>
  <si>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</si>
  <si>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</si>
  <si>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</si>
  <si>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</si>
  <si>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</si>
  <si>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</si>
  <si>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</si>
  <si>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</si>
  <si>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</si>
  <si>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</si>
  <si>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</si>
  <si>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</si>
  <si>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</si>
  <si>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</si>
  <si>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</si>
  <si>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</si>
  <si>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</si>
  <si>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</si>
  <si>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</si>
  <si>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</si>
  <si>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</si>
  <si>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</si>
  <si>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</si>
  <si>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</si>
  <si>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</si>
  <si>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</si>
  <si>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</si>
  <si>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</si>
  <si>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</si>
  <si>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</si>
  <si>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</si>
  <si>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</si>
  <si>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</si>
  <si>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</si>
  <si>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</si>
  <si>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</si>
  <si>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</si>
  <si>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</si>
  <si>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</si>
  <si>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</si>
  <si>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</si>
  <si>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</si>
  <si>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</si>
  <si>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</si>
  <si>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</si>
  <si>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</si>
  <si>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</si>
  <si>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</si>
  <si>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</si>
  <si>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</si>
  <si>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</si>
  <si>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</si>
  <si>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</si>
  <si>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</si>
  <si>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</si>
  <si>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</si>
  <si>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</si>
  <si>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</si>
  <si>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</si>
  <si>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</si>
  <si>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</si>
  <si>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</si>
  <si>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</si>
  <si>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</si>
  <si>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</si>
  <si>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</si>
  <si>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</si>
  <si>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</si>
  <si>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</si>
  <si>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</si>
  <si>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</si>
  <si>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</si>
  <si>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</si>
  <si>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</si>
  <si>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</si>
  <si>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</si>
  <si>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</si>
  <si>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</si>
  <si>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</si>
  <si>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</si>
  <si>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</si>
  <si>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</si>
  <si>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</si>
  <si>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</si>
  <si>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</si>
  <si>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</si>
  <si>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</si>
  <si>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</si>
  <si>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</si>
  <si>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</si>
  <si>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</si>
  <si>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</si>
  <si>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</si>
  <si>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</si>
  <si>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</si>
  <si>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</si>
  <si>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</si>
  <si>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</si>
  <si>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</si>
  <si>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</si>
  <si>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</si>
  <si>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</si>
  <si>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</si>
  <si>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</si>
  <si>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</si>
  <si>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</si>
  <si>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</si>
  <si>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</si>
  <si>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</si>
  <si>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</si>
  <si>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</si>
  <si>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</si>
  <si>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</si>
  <si>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</si>
  <si>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</si>
  <si>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</si>
  <si>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</si>
  <si>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</si>
  <si>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</si>
  <si>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</si>
  <si>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</si>
  <si>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</si>
  <si>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</si>
  <si>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</si>
  <si>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SUM(IFERROR(C12:C21,20)</t>
  </si>
  <si>
    <t xml:space="preserve">Here  i use the sum and inside I used iferror than it replace with 20 </t>
  </si>
  <si>
    <t xml:space="preserve">First  I choose the data column then click on the Text to col  in the Data Tool,then select  deliminated other (-), then desitnation accoriding to col </t>
  </si>
  <si>
    <t xml:space="preserve">First it will the cell A23  in the range M9:M18 and finds the row number </t>
  </si>
  <si>
    <t xml:space="preserve">Then it will lookup the cell B23 in the same range  M9:M18 the find the col number </t>
  </si>
  <si>
    <t>Then it uses row &amp; col numebr to find the values located in the table  at row and col intersacion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</si>
</sst>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2" fontId="3" fillId="0" borderId="6" xfId="0" applyNumberFormat="1" applyFont="1" applyBorder="1"/>
    <xf numFmtId="166" fontId="7" fillId="0" borderId="0" xfId="0" applyNumberFormat="1" applyFont="1"/>
    <xf numFmtId="166" fontId="3" fillId="0" borderId="0" xfId="0" applyNumberFormat="1" applyFont="1"/>
    <xf numFmtId="0" fontId="7" fillId="0" borderId="6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4" t="s">
        <v>170</v>
      </c>
      <c r="B9" s="25" t="s">
        <v>168</v>
      </c>
    </row>
    <row r="10" spans="1:3" x14ac:dyDescent="0.3">
      <c r="A10" s="33" t="s">
        <v>171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zoomScaleNormal="100" workbookViewId="0">
      <selection activeCell="A21" sqref="A21:XFD21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5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5">
      <c r="H41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C40 E1:X40">
    <cfRule type="cellIs" dxfId="1" priority="1" stopIfTrue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2">
        <f>SUMIF(H2:H40,"&gt;20")</f>
        <v>0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B1" zoomScaleNormal="100" workbookViewId="0">
      <selection activeCell="B6" sqref="B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55</v>
      </c>
      <c r="B1" s="39" t="s">
        <v>163</v>
      </c>
    </row>
    <row r="2" spans="1:7" s="39" customFormat="1" ht="21" x14ac:dyDescent="0.5">
      <c r="B2" s="39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161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INDEX(Dataset!G2:G40, MATCH(A6, Dataset!A2:A40, 0))</f>
        <v>2.7</v>
      </c>
      <c r="C6" s="11">
        <f>INDEX(Dataset!N2:N40, MATCH(A6, Dataset!A2:A40, 0))</f>
        <v>7.6</v>
      </c>
      <c r="D6" s="11">
        <f>INDEX(Dataset!R2:R40, MATCH(A6, Dataset!A2:A40, 0))</f>
        <v>4.2</v>
      </c>
      <c r="E6" s="11">
        <f>INDEX(Dataset!T2:T40,MATCH(A6,Dataset!A2:A40,0))</f>
        <v>8.9</v>
      </c>
      <c r="F6" s="8">
        <f>INDEX(Dataset!V2:V40,MATCH(A6,Dataset!A2:A40,0))</f>
        <v>4.2</v>
      </c>
    </row>
    <row r="7" spans="1:7" ht="14.5" x14ac:dyDescent="0.35">
      <c r="A7" s="7" t="s">
        <v>4</v>
      </c>
      <c r="B7" s="11">
        <f>INDEX(Dataset!G3:G41, MATCH(A7, Dataset!A3:A41, 0))</f>
        <v>2.7</v>
      </c>
      <c r="C7" s="11">
        <f>INDEX(Dataset!N3:N41, MATCH(A7, Dataset!A3:A41, 0))</f>
        <v>7.6</v>
      </c>
      <c r="D7" s="11">
        <f>INDEX(Dataset!R3:R41, MATCH(A7, Dataset!A3:A41, 0))</f>
        <v>4.2</v>
      </c>
      <c r="E7" s="11">
        <f>INDEX(Dataset!T3:T41,MATCH(A7,Dataset!A3:A41,0))</f>
        <v>8.9</v>
      </c>
      <c r="F7" s="8">
        <f>INDEX(Dataset!V3:V41,MATCH(A7,Dataset!A3:A41,0))</f>
        <v>4.2</v>
      </c>
    </row>
    <row r="8" spans="1:7" ht="14.5" x14ac:dyDescent="0.35">
      <c r="A8" s="7" t="s">
        <v>7</v>
      </c>
      <c r="B8" s="11">
        <f>INDEX(Dataset!G4:G42, MATCH(A8, Dataset!A4:A42, 0))</f>
        <v>3.6</v>
      </c>
      <c r="C8" s="11">
        <f>INDEX(Dataset!N4:N42, MATCH(A8, Dataset!A4:A42, 0))</f>
        <v>11.1</v>
      </c>
      <c r="D8" s="11">
        <f>INDEX(Dataset!R4:R42, MATCH(A8, Dataset!A4:A42, 0))</f>
        <v>5.8</v>
      </c>
      <c r="E8" s="11">
        <f>INDEX(Dataset!T4:T42,MATCH(A8,Dataset!A4:A42,0))</f>
        <v>12.2</v>
      </c>
      <c r="F8" s="8">
        <f>INDEX(Dataset!V4:V42,MATCH(A8,Dataset!A4:A42,0))</f>
        <v>5.8</v>
      </c>
    </row>
    <row r="9" spans="1:7" ht="14.5" x14ac:dyDescent="0.35">
      <c r="A9" s="7" t="s">
        <v>8</v>
      </c>
      <c r="B9" s="11">
        <f>INDEX(Dataset!G5:G43, MATCH(A9, Dataset!A5:A43, 0))</f>
        <v>4.9000000000000004</v>
      </c>
      <c r="C9" s="11">
        <f>INDEX(Dataset!N5:N43, MATCH(A9, Dataset!A5:A43, 0))</f>
        <v>13.3</v>
      </c>
      <c r="D9" s="11">
        <f>INDEX(Dataset!R5:R43, MATCH(A9, Dataset!A5:A43, 0))</f>
        <v>8.1</v>
      </c>
      <c r="E9" s="11">
        <f>INDEX(Dataset!T5:T43,MATCH(A9,Dataset!A5:A43,0))</f>
        <v>17</v>
      </c>
      <c r="F9" s="8">
        <f>INDEX(Dataset!V5:V43,MATCH(A9,Dataset!A5:A43,0))</f>
        <v>8.1</v>
      </c>
    </row>
    <row r="10" spans="1:7" ht="14.5" x14ac:dyDescent="0.35">
      <c r="A10" s="7" t="s">
        <v>11</v>
      </c>
      <c r="B10" s="11">
        <f>INDEX(Dataset!G6:G44, MATCH(A10, Dataset!A6:A44, 0))</f>
        <v>9.4</v>
      </c>
      <c r="C10" s="11">
        <f>INDEX(Dataset!N6:N44, MATCH(A10, Dataset!A6:A44, 0))</f>
        <v>28.3</v>
      </c>
      <c r="D10" s="11">
        <f>INDEX(Dataset!R6:R44, MATCH(A10, Dataset!A6:A44, 0))</f>
        <v>16.100000000000001</v>
      </c>
      <c r="E10" s="11">
        <f>INDEX(Dataset!T6:T44,MATCH(A10,Dataset!A6:A44,0))</f>
        <v>32.799999999999997</v>
      </c>
      <c r="F10" s="8">
        <f>INDEX(Dataset!V6:V44,MATCH(A10,Dataset!A6:A44,0))</f>
        <v>16.100000000000001</v>
      </c>
    </row>
    <row r="11" spans="1:7" ht="14.5" x14ac:dyDescent="0.35">
      <c r="A11" s="7" t="s">
        <v>12</v>
      </c>
      <c r="B11" s="11">
        <f>INDEX(Dataset!G7:G45, MATCH(A11, Dataset!A7:A45, 0))</f>
        <v>11.6</v>
      </c>
      <c r="C11" s="11">
        <f>INDEX(Dataset!N7:N45, MATCH(A11, Dataset!A7:A45, 0))</f>
        <v>35.200000000000003</v>
      </c>
      <c r="D11" s="11">
        <f>INDEX(Dataset!R7:R45, MATCH(A11, Dataset!A7:A45, 0))</f>
        <v>21.3</v>
      </c>
      <c r="E11" s="11">
        <f>INDEX(Dataset!T7:T45,MATCH(A11,Dataset!A7:A45,0))</f>
        <v>43</v>
      </c>
      <c r="F11" s="8">
        <f>INDEX(Dataset!V7:V45,MATCH(A11,Dataset!A7:A45,0))</f>
        <v>21.3</v>
      </c>
    </row>
    <row r="12" spans="1:7" ht="14.5" x14ac:dyDescent="0.35">
      <c r="A12" s="7" t="s">
        <v>14</v>
      </c>
      <c r="B12" s="11">
        <f>INDEX(Dataset!G8:G46, MATCH(A12, Dataset!A8:A46, 0))</f>
        <v>18.399999999999999</v>
      </c>
      <c r="C12" s="11">
        <f>INDEX(Dataset!N8:N46, MATCH(A12, Dataset!A8:A46, 0))</f>
        <v>55.6</v>
      </c>
      <c r="D12" s="11">
        <f>INDEX(Dataset!R8:R46, MATCH(A12, Dataset!A8:A46, 0))</f>
        <v>33.799999999999997</v>
      </c>
      <c r="E12" s="11">
        <f>INDEX(Dataset!T8:T46,MATCH(A12,Dataset!A8:A46,0))</f>
        <v>67.900000000000006</v>
      </c>
      <c r="F12" s="8">
        <f>INDEX(Dataset!V8:V46,MATCH(A12,Dataset!A8:A46,0))</f>
        <v>33.799999999999997</v>
      </c>
    </row>
    <row r="13" spans="1:7" ht="14.5" x14ac:dyDescent="0.35">
      <c r="A13" s="7" t="s">
        <v>15</v>
      </c>
      <c r="B13" s="11">
        <f>INDEX(Dataset!G9:G47, MATCH(A13, Dataset!A9:A47, 0))</f>
        <v>0</v>
      </c>
      <c r="C13" s="11">
        <f>INDEX(Dataset!N9:N47, MATCH(A13, Dataset!A9:A47, 0))</f>
        <v>0</v>
      </c>
      <c r="D13" s="11">
        <f>INDEX(Dataset!R9:R47, MATCH(A13, Dataset!A9:A47, 0))</f>
        <v>0</v>
      </c>
      <c r="E13" s="11">
        <f>INDEX(Dataset!T9:T47,MATCH(A13,Dataset!A9:A47,0))</f>
        <v>0</v>
      </c>
      <c r="F13" s="8">
        <f>INDEX(Dataset!V9:V47,MATCH(A13,Dataset!A9:A47,0))</f>
        <v>0</v>
      </c>
    </row>
    <row r="14" spans="1:7" ht="14.5" x14ac:dyDescent="0.35">
      <c r="A14" s="7" t="s">
        <v>16</v>
      </c>
      <c r="B14" s="11">
        <f>INDEX(Dataset!G10:G48, MATCH(A14, Dataset!A10:A48, 0))</f>
        <v>21.9</v>
      </c>
      <c r="C14" s="11">
        <f>INDEX(Dataset!N10:N48, MATCH(A14, Dataset!A10:A48, 0))</f>
        <v>61.5</v>
      </c>
      <c r="D14" s="11">
        <f>INDEX(Dataset!R10:R48, MATCH(A14, Dataset!A10:A48, 0))</f>
        <v>40.1</v>
      </c>
      <c r="E14" s="11">
        <f>INDEX(Dataset!T10:T48,MATCH(A14,Dataset!A10:A48,0))</f>
        <v>76.599999999999994</v>
      </c>
      <c r="F14" s="8">
        <f>INDEX(Dataset!V10:V48,MATCH(A14,Dataset!A10:A48,0))</f>
        <v>40.1</v>
      </c>
    </row>
    <row r="15" spans="1:7" ht="14.5" x14ac:dyDescent="0.35">
      <c r="A15" s="7" t="s">
        <v>18</v>
      </c>
      <c r="B15" s="11">
        <f>INDEX(Dataset!G11:G49, MATCH(A15, Dataset!A11:A49, 0))</f>
        <v>26.8</v>
      </c>
      <c r="C15" s="11">
        <f>INDEX(Dataset!N11:N49, MATCH(A15, Dataset!A11:A49, 0))</f>
        <v>79.599999999999994</v>
      </c>
      <c r="D15" s="11">
        <f>INDEX(Dataset!R11:R49, MATCH(A15, Dataset!A11:A49, 0))</f>
        <v>47.9</v>
      </c>
      <c r="E15" s="11">
        <f>INDEX(Dataset!T11:T49,MATCH(A15,Dataset!A11:A49,0))</f>
        <v>96.8</v>
      </c>
      <c r="F15" s="8">
        <f>INDEX(Dataset!V11:V49,MATCH(A15,Dataset!A11:A49,0))</f>
        <v>47.9</v>
      </c>
    </row>
    <row r="16" spans="1:7" ht="14.5" x14ac:dyDescent="0.35">
      <c r="A16" s="7" t="s">
        <v>20</v>
      </c>
      <c r="B16" s="11">
        <f>INDEX(Dataset!G12:G50, MATCH(A16, Dataset!A12:A50, 0))</f>
        <v>28.5</v>
      </c>
      <c r="C16" s="11">
        <f>INDEX(Dataset!N12:N50, MATCH(A16, Dataset!A12:A50, 0))</f>
        <v>85.4</v>
      </c>
      <c r="D16" s="11">
        <f>INDEX(Dataset!R12:R50, MATCH(A16, Dataset!A12:A50, 0))</f>
        <v>52.3</v>
      </c>
      <c r="E16" s="11">
        <f>INDEX(Dataset!T12:T50,MATCH(A16,Dataset!A12:A50,0))</f>
        <v>106.1</v>
      </c>
      <c r="F16" s="8">
        <f>INDEX(Dataset!V12:V50,MATCH(A16,Dataset!A12:A50,0))</f>
        <v>52.3</v>
      </c>
    </row>
    <row r="17" spans="1:6" ht="14.5" x14ac:dyDescent="0.35">
      <c r="A17" s="7" t="s">
        <v>22</v>
      </c>
      <c r="B17" s="11">
        <f>INDEX(Dataset!G13:G51, MATCH(A17, Dataset!A13:A51, 0))</f>
        <v>30.7</v>
      </c>
      <c r="C17" s="11">
        <f>INDEX(Dataset!N13:N51, MATCH(A17, Dataset!A13:A51, 0))</f>
        <v>92.1</v>
      </c>
      <c r="D17" s="11">
        <f>INDEX(Dataset!R13:R51, MATCH(A17, Dataset!A13:A51, 0))</f>
        <v>57</v>
      </c>
      <c r="E17" s="11">
        <f>INDEX(Dataset!T13:T51,MATCH(A17,Dataset!A13:A51,0))</f>
        <v>115.1</v>
      </c>
      <c r="F17" s="8">
        <f>INDEX(Dataset!V13:V51,MATCH(A17,Dataset!A13:A51,0))</f>
        <v>57</v>
      </c>
    </row>
    <row r="18" spans="1:6" ht="14.5" x14ac:dyDescent="0.35">
      <c r="A18" s="7" t="s">
        <v>23</v>
      </c>
      <c r="B18" s="11">
        <f>INDEX(Dataset!G14:G52, MATCH(A18, Dataset!A14:A52, 0))</f>
        <v>33.799999999999997</v>
      </c>
      <c r="C18" s="11">
        <f>INDEX(Dataset!N14:N52, MATCH(A18, Dataset!A14:A52, 0))</f>
        <v>101.3</v>
      </c>
      <c r="D18" s="11">
        <f>INDEX(Dataset!R14:R52, MATCH(A18, Dataset!A14:A52, 0))</f>
        <v>61.4</v>
      </c>
      <c r="E18" s="11">
        <f>INDEX(Dataset!T14:T52,MATCH(A18,Dataset!A14:A52,0))</f>
        <v>124.4</v>
      </c>
      <c r="F18" s="8">
        <f>INDEX(Dataset!V14:V52,MATCH(A18,Dataset!A14:A52,0))</f>
        <v>61.4</v>
      </c>
    </row>
    <row r="19" spans="1:6" ht="14.5" x14ac:dyDescent="0.35">
      <c r="A19" s="7" t="s">
        <v>24</v>
      </c>
      <c r="B19" s="11">
        <f>INDEX(Dataset!G15:G53, MATCH(A19, Dataset!A15:A53, 0))</f>
        <v>34.700000000000003</v>
      </c>
      <c r="C19" s="11">
        <f>INDEX(Dataset!N15:N53, MATCH(A19, Dataset!A15:A53, 0))</f>
        <v>106.1</v>
      </c>
      <c r="D19" s="11">
        <f>INDEX(Dataset!R15:R53, MATCH(A19, Dataset!A15:A53, 0))</f>
        <v>63.6</v>
      </c>
      <c r="E19" s="11">
        <f>INDEX(Dataset!T15:T53,MATCH(A19,Dataset!A15:A53,0))</f>
        <v>128.6</v>
      </c>
      <c r="F19" s="8">
        <f>INDEX(Dataset!V15:V53,MATCH(A19,Dataset!A15:A53,0))</f>
        <v>63.6</v>
      </c>
    </row>
    <row r="20" spans="1:6" ht="14.5" x14ac:dyDescent="0.35">
      <c r="A20" s="7" t="s">
        <v>28</v>
      </c>
      <c r="B20" s="11">
        <f>INDEX(Dataset!G16:G54, MATCH(A20, Dataset!A16:A54, 0))</f>
        <v>0</v>
      </c>
      <c r="C20" s="11">
        <f>INDEX(Dataset!N16:N54, MATCH(A20, Dataset!A16:A54, 0))</f>
        <v>0</v>
      </c>
      <c r="D20" s="11">
        <f>INDEX(Dataset!R16:R54, MATCH(A20, Dataset!A16:A54, 0))</f>
        <v>0</v>
      </c>
      <c r="E20" s="11">
        <f>INDEX(Dataset!T16:T54,MATCH(A20,Dataset!A16:A54,0))</f>
        <v>0</v>
      </c>
      <c r="F20" s="8">
        <f>INDEX(Dataset!V16:V54,MATCH(A20,Dataset!A16:A54,0))</f>
        <v>0</v>
      </c>
    </row>
    <row r="21" spans="1:6" ht="14.5" x14ac:dyDescent="0.35">
      <c r="A21" s="7" t="s">
        <v>57</v>
      </c>
      <c r="B21" s="11">
        <f>INDEX(Dataset!G17:G55, MATCH(A21, Dataset!A17:A55, 0))</f>
        <v>41.3</v>
      </c>
      <c r="C21" s="11">
        <f>INDEX(Dataset!N17:N55, MATCH(A21, Dataset!A17:A55, 0))</f>
        <v>124.4</v>
      </c>
      <c r="D21" s="11">
        <f>INDEX(Dataset!R17:R55, MATCH(A21, Dataset!A17:A55, 0))</f>
        <v>75</v>
      </c>
      <c r="E21" s="11">
        <f>INDEX(Dataset!T17:T55,MATCH(A21,Dataset!A17:A55,0))</f>
        <v>151.5</v>
      </c>
      <c r="F21" s="8">
        <f>INDEX(Dataset!V17:V55,MATCH(A21,Dataset!A17:A55,0))</f>
        <v>75</v>
      </c>
    </row>
    <row r="22" spans="1:6" ht="14.5" x14ac:dyDescent="0.35">
      <c r="A22" s="7" t="s">
        <v>58</v>
      </c>
      <c r="B22" s="11">
        <f>INDEX(Dataset!G18:G56, MATCH(A22, Dataset!A18:A56, 0))</f>
        <v>-1</v>
      </c>
      <c r="C22" s="11">
        <f>INDEX(Dataset!N18:N56, MATCH(A22, Dataset!A18:A56, 0))</f>
        <v>-1</v>
      </c>
      <c r="D22" s="11">
        <f>INDEX(Dataset!R18:R56, MATCH(A22, Dataset!A18:A56, 0))</f>
        <v>-1</v>
      </c>
      <c r="E22" s="11">
        <f>INDEX(Dataset!T18:T56,MATCH(A22,Dataset!A18:A56,0))</f>
        <v>-1</v>
      </c>
      <c r="F22" s="8">
        <f>INDEX(Dataset!V18:V56,MATCH(A22,Dataset!A18:A56,0))</f>
        <v>-1</v>
      </c>
    </row>
    <row r="23" spans="1:6" ht="14.5" x14ac:dyDescent="0.35">
      <c r="A23" s="7" t="s">
        <v>31</v>
      </c>
      <c r="B23" s="11">
        <f>INDEX(Dataset!G19:G57, MATCH(A23, Dataset!A19:A57, 0))</f>
        <v>45</v>
      </c>
      <c r="C23" s="11">
        <f>INDEX(Dataset!N19:N57, MATCH(A23, Dataset!A19:A57, 0))</f>
        <v>133.4</v>
      </c>
      <c r="D23" s="11">
        <f>INDEX(Dataset!R19:R57, MATCH(A23, Dataset!A19:A57, 0))</f>
        <v>79.400000000000006</v>
      </c>
      <c r="E23" s="11">
        <f>INDEX(Dataset!T19:T57,MATCH(A23,Dataset!A19:A57,0))</f>
        <v>160.9</v>
      </c>
      <c r="F23" s="8">
        <f>INDEX(Dataset!V19:V57,MATCH(A23,Dataset!A19:A57,0))</f>
        <v>79.400000000000006</v>
      </c>
    </row>
    <row r="24" spans="1:6" ht="14.5" x14ac:dyDescent="0.35">
      <c r="A24" s="7" t="s">
        <v>32</v>
      </c>
      <c r="B24" s="11">
        <f>INDEX(Dataset!G20:G58, MATCH(A24, Dataset!A20:A58, 0))</f>
        <v>-1</v>
      </c>
      <c r="C24" s="11">
        <f>INDEX(Dataset!N20:N58, MATCH(A24, Dataset!A20:A58, 0))</f>
        <v>-1</v>
      </c>
      <c r="D24" s="11">
        <f>INDEX(Dataset!R20:R58, MATCH(A24, Dataset!A20:A58, 0))</f>
        <v>-1</v>
      </c>
      <c r="E24" s="11">
        <f>INDEX(Dataset!T20:T58,MATCH(A24,Dataset!A20:A58,0))</f>
        <v>-1</v>
      </c>
      <c r="F24" s="8">
        <f>INDEX(Dataset!V20:V58,MATCH(A24,Dataset!A20:A58,0))</f>
        <v>-1</v>
      </c>
    </row>
    <row r="25" spans="1:6" ht="14.5" x14ac:dyDescent="0.35">
      <c r="A25" s="7" t="s">
        <v>34</v>
      </c>
      <c r="B25" s="11">
        <f>INDEX(Dataset!G21:G59, MATCH(A25, Dataset!A21:A59, 0))</f>
        <v>43.3</v>
      </c>
      <c r="C25" s="11">
        <f>INDEX(Dataset!N21:N59, MATCH(A25, Dataset!A21:A59, 0))</f>
        <v>128.6</v>
      </c>
      <c r="D25" s="11">
        <f>INDEX(Dataset!R21:R59, MATCH(A25, Dataset!A21:A59, 0))</f>
        <v>79.400000000000006</v>
      </c>
      <c r="E25" s="11">
        <f>INDEX(Dataset!T21:T59,MATCH(A25,Dataset!A21:A59,0))</f>
        <v>160.9</v>
      </c>
      <c r="F25" s="8">
        <f>INDEX(Dataset!V21:V59,MATCH(A25,Dataset!A21:A59,0))</f>
        <v>79.400000000000006</v>
      </c>
    </row>
    <row r="26" spans="1:6" ht="14.5" x14ac:dyDescent="0.35">
      <c r="A26" s="7" t="s">
        <v>37</v>
      </c>
      <c r="B26" s="11">
        <f>INDEX(Dataset!G22:G60, MATCH(A26, Dataset!A22:A60, 0))</f>
        <v>49.1</v>
      </c>
      <c r="C26" s="11">
        <f>INDEX(Dataset!N22:N60, MATCH(A26, Dataset!A22:A60, 0))</f>
        <v>146.80000000000001</v>
      </c>
      <c r="D26" s="11">
        <f>INDEX(Dataset!R22:R60, MATCH(A26, Dataset!A22:A60, 0))</f>
        <v>90.9</v>
      </c>
      <c r="E26" s="11">
        <f>INDEX(Dataset!T22:T60,MATCH(A26,Dataset!A22:A60,0))</f>
        <v>183.5</v>
      </c>
      <c r="F26" s="8">
        <f>INDEX(Dataset!V22:V60,MATCH(A26,Dataset!A22:A60,0))</f>
        <v>90.9</v>
      </c>
    </row>
    <row r="27" spans="1:6" ht="14.5" x14ac:dyDescent="0.35">
      <c r="A27" s="7" t="s">
        <v>39</v>
      </c>
      <c r="B27" s="11">
        <f>INDEX(Dataset!G23:G61, MATCH(A27, Dataset!A23:A61, 0))</f>
        <v>51.8</v>
      </c>
      <c r="C27" s="11">
        <f>INDEX(Dataset!N23:N61, MATCH(A27, Dataset!A23:A61, 0))</f>
        <v>156.4</v>
      </c>
      <c r="D27" s="11">
        <f>INDEX(Dataset!R23:R61, MATCH(A27, Dataset!A23:A61, 0))</f>
        <v>93.1</v>
      </c>
      <c r="E27" s="11">
        <f>INDEX(Dataset!T23:T61,MATCH(A27,Dataset!A23:A61,0))</f>
        <v>188.1</v>
      </c>
      <c r="F27" s="8">
        <f>INDEX(Dataset!V23:V61,MATCH(A27,Dataset!A23:A61,0))</f>
        <v>93.1</v>
      </c>
    </row>
    <row r="28" spans="1:6" ht="14.5" x14ac:dyDescent="0.35">
      <c r="A28" s="18" t="s">
        <v>82</v>
      </c>
      <c r="B28" s="46">
        <f>MIN(B6:B27)</f>
        <v>-1</v>
      </c>
      <c r="C28" s="46">
        <f>MIN(C6:C27)</f>
        <v>-1</v>
      </c>
      <c r="D28" s="46">
        <f>MIN(D6:D27)</f>
        <v>-1</v>
      </c>
      <c r="E28" s="46">
        <f>MIN(E6:E27)</f>
        <v>-1</v>
      </c>
      <c r="F28" s="46">
        <f>MIN(F6:F27)</f>
        <v>-1</v>
      </c>
    </row>
    <row r="29" spans="1:6" ht="14.5" x14ac:dyDescent="0.35">
      <c r="A29" s="18" t="s">
        <v>83</v>
      </c>
      <c r="B29" s="46">
        <f>MAX(B6:B27)</f>
        <v>51.8</v>
      </c>
      <c r="C29" s="46">
        <f>MAX(C6:C27)</f>
        <v>156.4</v>
      </c>
      <c r="D29" s="46">
        <f>MAX(D6:D27)</f>
        <v>93.1</v>
      </c>
      <c r="E29" s="46">
        <f>MAX(E6:E27)</f>
        <v>188.1</v>
      </c>
      <c r="F29" s="46">
        <f>MAX(F6:F27)</f>
        <v>93.1</v>
      </c>
    </row>
    <row r="30" spans="1:6" ht="14.5" x14ac:dyDescent="0.35">
      <c r="A30" s="18" t="s">
        <v>84</v>
      </c>
      <c r="B30" s="46">
        <f>AVERAGE(B6:B27)</f>
        <v>20.827272727272728</v>
      </c>
      <c r="C30" s="46">
        <f>AVERAGE(C6:C27)</f>
        <v>62.377272727272725</v>
      </c>
      <c r="D30" s="46">
        <f>AVERAGE(D6:D27)</f>
        <v>37.800000000000004</v>
      </c>
      <c r="E30" s="46">
        <f>AVERAGE(E6:E27)</f>
        <v>76.418181818181822</v>
      </c>
      <c r="F30" s="46">
        <f>AVERAGE(F6:F27)</f>
        <v>37.800000000000004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DFEFF-7AD5-4D50-9C08-4A44CB0D397B}">
  <dimension ref="A1:J54"/>
  <sheetViews>
    <sheetView topLeftCell="A18" workbookViewId="0">
      <selection activeCell="B8" sqref="B8"/>
    </sheetView>
  </sheetViews>
  <sheetFormatPr defaultColWidth="11" defaultRowHeight="13" x14ac:dyDescent="0.35"/>
  <cols>
    <col min="1" max="1" width="39.796875" style="1" bestFit="1" customWidth="1"/>
    <col min="2" max="2" width="11" style="1"/>
    <col min="3" max="3" width="14.5" style="1" bestFit="1" customWidth="1"/>
    <col min="4" max="16384" width="11" style="1"/>
  </cols>
  <sheetData>
    <row r="1" spans="1:10" s="39" customFormat="1" ht="21" x14ac:dyDescent="0.5">
      <c r="A1" s="40" t="s">
        <v>56</v>
      </c>
      <c r="B1" s="39" t="s">
        <v>173</v>
      </c>
    </row>
    <row r="2" spans="1:10" customFormat="1" x14ac:dyDescent="0.3"/>
    <row r="3" spans="1:10" s="2" customFormat="1" ht="14.5" x14ac:dyDescent="0.35">
      <c r="B3" s="1"/>
    </row>
    <row r="4" spans="1:10" s="2" customFormat="1" ht="14.5" x14ac:dyDescent="0.35">
      <c r="B4" s="1" t="s">
        <v>150</v>
      </c>
    </row>
    <row r="5" spans="1:10" ht="18.5" x14ac:dyDescent="0.45">
      <c r="A5" s="41" t="s">
        <v>53</v>
      </c>
      <c r="B5" s="38"/>
    </row>
    <row r="6" spans="1:10" ht="18.5" x14ac:dyDescent="0.45">
      <c r="A6" s="41" t="s">
        <v>152</v>
      </c>
      <c r="B6" s="38" t="s">
        <v>179</v>
      </c>
    </row>
    <row r="7" spans="1:10" ht="18.5" x14ac:dyDescent="0.45">
      <c r="A7" s="41"/>
      <c r="B7" s="38"/>
    </row>
    <row r="9" spans="1:10" ht="23.5" x14ac:dyDescent="0.55000000000000004">
      <c r="A9" s="17" t="s">
        <v>164</v>
      </c>
      <c r="I9" s="2"/>
      <c r="J9" s="2"/>
    </row>
    <row r="10" spans="1:10" ht="14.5" x14ac:dyDescent="0.3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ht="14.5" x14ac:dyDescent="0.35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161</v>
      </c>
    </row>
    <row r="15" spans="1:10" ht="14.5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ht="14.5" x14ac:dyDescent="0.35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43">
        <v>24</v>
      </c>
    </row>
    <row r="17" spans="1:6" ht="14.5" x14ac:dyDescent="0.35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43">
        <v>24</v>
      </c>
    </row>
    <row r="18" spans="1:6" ht="14.5" x14ac:dyDescent="0.35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43">
        <v>24</v>
      </c>
    </row>
    <row r="19" spans="1:6" ht="14.5" x14ac:dyDescent="0.35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43">
        <v>24</v>
      </c>
    </row>
    <row r="20" spans="1:6" ht="14.5" x14ac:dyDescent="0.35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43">
        <v>24</v>
      </c>
    </row>
    <row r="21" spans="1:6" ht="14.5" x14ac:dyDescent="0.35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43">
        <v>24</v>
      </c>
    </row>
    <row r="22" spans="1:6" ht="14.5" x14ac:dyDescent="0.35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43">
        <v>24</v>
      </c>
    </row>
    <row r="23" spans="1:6" ht="14.5" x14ac:dyDescent="0.35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43">
        <v>24</v>
      </c>
    </row>
    <row r="24" spans="1:6" ht="14.5" x14ac:dyDescent="0.35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43">
        <v>24</v>
      </c>
    </row>
    <row r="25" spans="1:6" ht="14.5" x14ac:dyDescent="0.35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43">
        <v>24</v>
      </c>
    </row>
    <row r="26" spans="1:6" ht="14.5" x14ac:dyDescent="0.35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43">
        <v>24</v>
      </c>
    </row>
    <row r="27" spans="1:6" ht="14.5" x14ac:dyDescent="0.35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43">
        <v>24</v>
      </c>
    </row>
    <row r="28" spans="1:6" ht="14.5" x14ac:dyDescent="0.35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43">
        <v>24</v>
      </c>
    </row>
    <row r="29" spans="1:6" ht="14.5" x14ac:dyDescent="0.35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43">
        <v>24</v>
      </c>
    </row>
    <row r="30" spans="1:6" ht="14.5" x14ac:dyDescent="0.35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43">
        <v>24</v>
      </c>
    </row>
    <row r="31" spans="1:6" ht="14.5" x14ac:dyDescent="0.35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43">
        <v>24</v>
      </c>
    </row>
    <row r="32" spans="1:6" ht="14.5" x14ac:dyDescent="0.35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43">
        <v>24</v>
      </c>
    </row>
    <row r="33" spans="1:6" ht="14.5" x14ac:dyDescent="0.35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43">
        <v>24</v>
      </c>
    </row>
    <row r="34" spans="1:6" ht="14.5" x14ac:dyDescent="0.35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43">
        <v>24</v>
      </c>
    </row>
    <row r="35" spans="1:6" ht="14.5" x14ac:dyDescent="0.35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43">
        <v>24</v>
      </c>
    </row>
    <row r="36" spans="1:6" ht="14.5" x14ac:dyDescent="0.35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43">
        <v>24</v>
      </c>
    </row>
    <row r="37" spans="1:6" ht="14.5" x14ac:dyDescent="0.35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43">
        <v>24</v>
      </c>
    </row>
    <row r="38" spans="1:6" ht="14.5" x14ac:dyDescent="0.35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43">
        <v>24</v>
      </c>
    </row>
    <row r="39" spans="1:6" ht="14.5" x14ac:dyDescent="0.35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43">
        <v>24</v>
      </c>
    </row>
    <row r="40" spans="1:6" ht="14.5" x14ac:dyDescent="0.35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43">
        <v>24</v>
      </c>
    </row>
    <row r="41" spans="1:6" ht="14.5" x14ac:dyDescent="0.35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43">
        <v>24</v>
      </c>
    </row>
    <row r="42" spans="1:6" ht="14.5" x14ac:dyDescent="0.35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43">
        <v>24</v>
      </c>
    </row>
    <row r="43" spans="1:6" ht="14.5" x14ac:dyDescent="0.35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43">
        <v>24</v>
      </c>
    </row>
    <row r="44" spans="1:6" ht="14.5" x14ac:dyDescent="0.35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43">
        <v>24</v>
      </c>
    </row>
    <row r="45" spans="1:6" ht="14.5" x14ac:dyDescent="0.35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43">
        <v>24</v>
      </c>
    </row>
    <row r="46" spans="1:6" ht="14.5" x14ac:dyDescent="0.35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43">
        <v>24</v>
      </c>
    </row>
    <row r="47" spans="1:6" ht="14.5" x14ac:dyDescent="0.35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43">
        <v>24</v>
      </c>
    </row>
    <row r="48" spans="1:6" ht="14.5" x14ac:dyDescent="0.35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43">
        <v>24</v>
      </c>
    </row>
    <row r="49" spans="1:6" ht="14.5" x14ac:dyDescent="0.35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43">
        <v>24</v>
      </c>
    </row>
    <row r="50" spans="1:6" ht="14.5" x14ac:dyDescent="0.35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43">
        <v>24</v>
      </c>
    </row>
    <row r="51" spans="1:6" ht="14.5" x14ac:dyDescent="0.35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43">
        <v>24</v>
      </c>
    </row>
    <row r="52" spans="1:6" ht="14.5" x14ac:dyDescent="0.35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43">
        <v>24</v>
      </c>
    </row>
    <row r="53" spans="1:6" ht="14.5" x14ac:dyDescent="0.35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43">
        <v>24</v>
      </c>
    </row>
    <row r="54" spans="1:6" ht="14.5" x14ac:dyDescent="0.35">
      <c r="A54" s="9" t="s">
        <v>119</v>
      </c>
      <c r="B54" s="11">
        <v>21016</v>
      </c>
      <c r="C54" s="1" t="s">
        <v>5</v>
      </c>
      <c r="D54" s="11">
        <v>0</v>
      </c>
      <c r="E54" s="1" t="s">
        <v>6</v>
      </c>
      <c r="F54" s="43">
        <v>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14" zoomScaleNormal="100" workbookViewId="0">
      <selection activeCell="C22" sqref="C22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0" t="s">
        <v>85</v>
      </c>
      <c r="B1" s="39" t="s">
        <v>166</v>
      </c>
    </row>
    <row r="2" spans="1:3" ht="18.5" x14ac:dyDescent="0.45">
      <c r="B2" s="38" t="s">
        <v>165</v>
      </c>
    </row>
    <row r="5" spans="1:3" ht="14.5" x14ac:dyDescent="0.35">
      <c r="B5" s="1" t="s">
        <v>150</v>
      </c>
    </row>
    <row r="6" spans="1:3" ht="14.5" x14ac:dyDescent="0.35">
      <c r="A6" s="3" t="s">
        <v>53</v>
      </c>
      <c r="B6" s="1" t="s">
        <v>177</v>
      </c>
    </row>
    <row r="7" spans="1:3" ht="14.5" x14ac:dyDescent="0.35">
      <c r="A7" s="3" t="s">
        <v>152</v>
      </c>
      <c r="B7" s="1" t="s">
        <v>178</v>
      </c>
    </row>
    <row r="10" spans="1:3" ht="23.5" x14ac:dyDescent="0.55000000000000004">
      <c r="A10" s="17" t="s">
        <v>161</v>
      </c>
    </row>
    <row r="11" spans="1:3" ht="14.5" x14ac:dyDescent="0.35">
      <c r="A11" s="30" t="s">
        <v>86</v>
      </c>
      <c r="B11" s="16" t="s">
        <v>87</v>
      </c>
      <c r="C11" s="16" t="s">
        <v>88</v>
      </c>
    </row>
    <row r="12" spans="1:3" ht="14.5" x14ac:dyDescent="0.35">
      <c r="A12" s="30">
        <v>44927</v>
      </c>
      <c r="B12" s="16" t="s">
        <v>59</v>
      </c>
      <c r="C12" s="16">
        <v>200</v>
      </c>
    </row>
    <row r="13" spans="1:3" ht="14.5" x14ac:dyDescent="0.35">
      <c r="A13" s="30">
        <v>44928</v>
      </c>
      <c r="B13" s="16" t="s">
        <v>60</v>
      </c>
      <c r="C13" s="16" t="e">
        <v>#N/A</v>
      </c>
    </row>
    <row r="14" spans="1:3" ht="14.5" x14ac:dyDescent="0.35">
      <c r="A14" s="30">
        <v>44929</v>
      </c>
      <c r="B14" s="16" t="s">
        <v>61</v>
      </c>
      <c r="C14" s="16">
        <v>50</v>
      </c>
    </row>
    <row r="15" spans="1:3" ht="14.5" x14ac:dyDescent="0.35">
      <c r="A15" s="30">
        <v>44930</v>
      </c>
      <c r="B15" s="16" t="s">
        <v>62</v>
      </c>
      <c r="C15" s="16" t="e">
        <v>#N/A</v>
      </c>
    </row>
    <row r="16" spans="1:3" ht="14.5" x14ac:dyDescent="0.35">
      <c r="A16" s="30">
        <v>44931</v>
      </c>
      <c r="B16" s="16" t="s">
        <v>63</v>
      </c>
      <c r="C16" s="16">
        <v>10</v>
      </c>
    </row>
    <row r="17" spans="1:3" ht="14.5" x14ac:dyDescent="0.35">
      <c r="A17" s="30">
        <v>44932</v>
      </c>
      <c r="B17" s="16" t="s">
        <v>153</v>
      </c>
      <c r="C17" s="16">
        <v>150</v>
      </c>
    </row>
    <row r="18" spans="1:3" ht="14.5" x14ac:dyDescent="0.35">
      <c r="A18" s="30">
        <v>44933</v>
      </c>
      <c r="B18" s="16" t="s">
        <v>154</v>
      </c>
      <c r="C18" s="16">
        <v>80</v>
      </c>
    </row>
    <row r="19" spans="1:3" ht="14.5" x14ac:dyDescent="0.35">
      <c r="A19" s="30">
        <v>44934</v>
      </c>
      <c r="B19" s="16" t="s">
        <v>155</v>
      </c>
      <c r="C19" s="16" t="e">
        <v>#N/A</v>
      </c>
    </row>
    <row r="20" spans="1:3" ht="14.5" x14ac:dyDescent="0.35">
      <c r="A20" s="30">
        <v>44935</v>
      </c>
      <c r="B20" s="16" t="s">
        <v>156</v>
      </c>
      <c r="C20" s="16">
        <v>30</v>
      </c>
    </row>
    <row r="21" spans="1:3" ht="14.5" x14ac:dyDescent="0.35">
      <c r="A21" s="30">
        <v>44936</v>
      </c>
      <c r="B21" s="16" t="s">
        <v>157</v>
      </c>
      <c r="C21" s="16" t="e">
        <v>#N/A</v>
      </c>
    </row>
    <row r="22" spans="1:3" ht="14.5" x14ac:dyDescent="0.35">
      <c r="B22" s="16" t="s">
        <v>158</v>
      </c>
      <c r="C22" s="24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4" zoomScaleNormal="100" workbookViewId="0">
      <selection activeCell="D8" sqref="D8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0" t="s">
        <v>98</v>
      </c>
      <c r="B1" s="39" t="s">
        <v>174</v>
      </c>
    </row>
    <row r="3" spans="1:14" ht="14.5" x14ac:dyDescent="0.35">
      <c r="B3" s="1" t="s">
        <v>150</v>
      </c>
    </row>
    <row r="4" spans="1:14" ht="18.5" x14ac:dyDescent="0.45">
      <c r="A4" s="41" t="s">
        <v>53</v>
      </c>
      <c r="B4" s="1"/>
    </row>
    <row r="5" spans="1:14" ht="18.5" x14ac:dyDescent="0.45">
      <c r="A5" s="41" t="s">
        <v>152</v>
      </c>
      <c r="B5" s="1" t="s">
        <v>180</v>
      </c>
    </row>
    <row r="6" spans="1:14" ht="14.5" x14ac:dyDescent="0.35">
      <c r="A6" s="3"/>
      <c r="B6" s="1" t="s">
        <v>181</v>
      </c>
    </row>
    <row r="7" spans="1:14" x14ac:dyDescent="0.3">
      <c r="B7" s="2" t="s">
        <v>182</v>
      </c>
    </row>
    <row r="8" spans="1:14" ht="23.5" x14ac:dyDescent="0.55000000000000004">
      <c r="A8" s="17" t="s">
        <v>161</v>
      </c>
      <c r="M8" s="17" t="s">
        <v>162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167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2">
        <f>INDEX($A$9:$J$18, MATCH(A23, $M$9:$M$18, 0), MATCH(B23, $M$9:$M$18, 0))</f>
        <v>95</v>
      </c>
    </row>
    <row r="24" spans="1:14" ht="14.5" x14ac:dyDescent="0.35">
      <c r="A24" s="7">
        <v>10100</v>
      </c>
      <c r="B24" s="11">
        <v>10104</v>
      </c>
      <c r="C24" s="42">
        <f t="shared" ref="C24:C35" si="0">INDEX($A$9:$J$18, MATCH(A24, $M$9:$M$18, 0), MATCH(B24, $M$9:$M$18, 0))</f>
        <v>-1</v>
      </c>
    </row>
    <row r="25" spans="1:14" ht="14.5" x14ac:dyDescent="0.35">
      <c r="A25" s="7">
        <v>10108</v>
      </c>
      <c r="B25" s="11">
        <v>10102</v>
      </c>
      <c r="C25" s="42">
        <f t="shared" si="0"/>
        <v>160</v>
      </c>
    </row>
    <row r="26" spans="1:14" ht="14.5" x14ac:dyDescent="0.35">
      <c r="A26" s="7">
        <v>10100</v>
      </c>
      <c r="B26" s="11">
        <v>10106</v>
      </c>
      <c r="C26" s="42">
        <f t="shared" si="0"/>
        <v>185</v>
      </c>
    </row>
    <row r="27" spans="1:14" ht="14.5" x14ac:dyDescent="0.35">
      <c r="A27" s="7">
        <v>10108</v>
      </c>
      <c r="B27" s="11">
        <v>10110</v>
      </c>
      <c r="C27" s="42">
        <f t="shared" si="0"/>
        <v>50</v>
      </c>
    </row>
    <row r="28" spans="1:14" ht="14.5" x14ac:dyDescent="0.35">
      <c r="A28" s="7">
        <v>10102</v>
      </c>
      <c r="B28" s="11">
        <v>10104</v>
      </c>
      <c r="C28" s="42">
        <f t="shared" si="0"/>
        <v>-1</v>
      </c>
    </row>
    <row r="29" spans="1:14" ht="14.5" x14ac:dyDescent="0.35">
      <c r="A29" s="7">
        <v>10106</v>
      </c>
      <c r="B29" s="11">
        <v>10108</v>
      </c>
      <c r="C29" s="42">
        <f t="shared" si="0"/>
        <v>70</v>
      </c>
    </row>
    <row r="30" spans="1:14" ht="14.5" x14ac:dyDescent="0.35">
      <c r="A30" s="7">
        <v>10102</v>
      </c>
      <c r="B30" s="11">
        <v>10106</v>
      </c>
      <c r="C30" s="42">
        <f t="shared" si="0"/>
        <v>90</v>
      </c>
    </row>
    <row r="31" spans="1:14" ht="14.5" x14ac:dyDescent="0.35">
      <c r="A31" s="7">
        <v>10110</v>
      </c>
      <c r="B31" s="11">
        <v>10114</v>
      </c>
      <c r="C31" s="42">
        <f t="shared" si="0"/>
        <v>180</v>
      </c>
    </row>
    <row r="32" spans="1:14" ht="14.5" x14ac:dyDescent="0.35">
      <c r="A32" s="7">
        <v>10104</v>
      </c>
      <c r="B32" s="11">
        <v>10106</v>
      </c>
      <c r="C32" s="42">
        <f t="shared" si="0"/>
        <v>60</v>
      </c>
    </row>
    <row r="33" spans="1:3" ht="14.5" x14ac:dyDescent="0.35">
      <c r="A33" s="7">
        <v>10110</v>
      </c>
      <c r="B33" s="11">
        <v>10112</v>
      </c>
      <c r="C33" s="42">
        <f t="shared" si="0"/>
        <v>115</v>
      </c>
    </row>
    <row r="34" spans="1:3" ht="14.5" x14ac:dyDescent="0.35">
      <c r="A34" s="7">
        <v>10100</v>
      </c>
      <c r="B34" s="11">
        <v>10114</v>
      </c>
      <c r="C34" s="42">
        <f t="shared" si="0"/>
        <v>480</v>
      </c>
    </row>
    <row r="35" spans="1:3" ht="14.5" x14ac:dyDescent="0.35">
      <c r="A35" s="9">
        <v>10112</v>
      </c>
      <c r="B35" s="12">
        <v>10116</v>
      </c>
      <c r="C35" s="42">
        <f t="shared" si="0"/>
        <v>105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 LAPTOP</cp:lastModifiedBy>
  <dcterms:created xsi:type="dcterms:W3CDTF">2015-02-10T17:33:11Z</dcterms:created>
  <dcterms:modified xsi:type="dcterms:W3CDTF">2024-10-23T17:22:17Z</dcterms:modified>
</cp:coreProperties>
</file>